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sha\Desktop\EQ\"/>
    </mc:Choice>
  </mc:AlternateContent>
  <xr:revisionPtr revIDLastSave="0" documentId="13_ncr:1_{3BE91885-02A2-43A3-88A7-CD49B60FA9C3}" xr6:coauthVersionLast="45" xr6:coauthVersionMax="45" xr10:uidLastSave="{00000000-0000-0000-0000-000000000000}"/>
  <bookViews>
    <workbookView showSheetTabs="0" xWindow="-93" yWindow="-93" windowWidth="17473" windowHeight="12346" firstSheet="1" activeTab="1" xr2:uid="{19AAFDFC-5F50-4D42-A659-A82E5D0B6F34}"/>
  </bookViews>
  <sheets>
    <sheet name="Calculation" sheetId="1" state="hidden" r:id="rId1"/>
    <sheet name="EQ-Input" sheetId="2" r:id="rId2"/>
    <sheet name="Results" sheetId="3" r:id="rId3"/>
  </sheets>
  <definedNames>
    <definedName name="_xlnm._FilterDatabase" localSheetId="1" hidden="1">'EQ-Input'!$B$3:$D$43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2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3" i="2" l="1"/>
  <c r="A28" i="1"/>
  <c r="A22" i="1"/>
  <c r="A20" i="1"/>
  <c r="A37" i="1"/>
  <c r="A19" i="1"/>
  <c r="A26" i="1"/>
  <c r="A41" i="1"/>
  <c r="A14" i="1"/>
  <c r="A21" i="1"/>
  <c r="A38" i="1"/>
  <c r="A10" i="1"/>
  <c r="A40" i="1"/>
  <c r="A33" i="1"/>
  <c r="A42" i="1"/>
  <c r="A12" i="1"/>
  <c r="A25" i="1"/>
  <c r="A18" i="1"/>
  <c r="A17" i="1"/>
  <c r="A5" i="1"/>
  <c r="A23" i="1"/>
  <c r="A43" i="1"/>
  <c r="A36" i="1"/>
  <c r="A24" i="1"/>
  <c r="A39" i="1"/>
  <c r="A32" i="1"/>
  <c r="A13" i="1"/>
  <c r="A27" i="1"/>
  <c r="A9" i="1"/>
  <c r="A8" i="1"/>
  <c r="A6" i="1"/>
  <c r="A30" i="1"/>
  <c r="A35" i="1"/>
  <c r="A11" i="1"/>
  <c r="A16" i="1"/>
  <c r="A15" i="1"/>
  <c r="A31" i="1"/>
  <c r="A29" i="1"/>
  <c r="A34" i="1"/>
  <c r="A7" i="1"/>
  <c r="A44" i="1"/>
  <c r="D10" i="1" l="1"/>
  <c r="E10" i="1" s="1"/>
  <c r="D9" i="1"/>
  <c r="E9" i="1" s="1"/>
  <c r="D14" i="1"/>
  <c r="E14" i="1" s="1"/>
  <c r="D18" i="1"/>
  <c r="E18" i="1" s="1"/>
  <c r="D6" i="1"/>
  <c r="E6" i="1" s="1"/>
  <c r="D11" i="1"/>
  <c r="E11" i="1" s="1"/>
  <c r="D15" i="1"/>
  <c r="E15" i="1" s="1"/>
  <c r="D19" i="1"/>
  <c r="E19" i="1" s="1"/>
  <c r="D7" i="1"/>
  <c r="E7" i="1" s="1"/>
  <c r="D12" i="1"/>
  <c r="E12" i="1" s="1"/>
  <c r="D16" i="1"/>
  <c r="E16" i="1" s="1"/>
  <c r="D20" i="1"/>
  <c r="E20" i="1" s="1"/>
  <c r="D8" i="1"/>
  <c r="E8" i="1" s="1"/>
  <c r="D13" i="1"/>
  <c r="E13" i="1" s="1"/>
  <c r="D17" i="1"/>
  <c r="E17" i="1" s="1"/>
  <c r="D21" i="1"/>
  <c r="E21" i="1" s="1"/>
  <c r="D22" i="1"/>
  <c r="E22" i="1" s="1"/>
  <c r="D26" i="1"/>
  <c r="E26" i="1" s="1"/>
  <c r="D30" i="1"/>
  <c r="E30" i="1" s="1"/>
  <c r="D34" i="1"/>
  <c r="E34" i="1" s="1"/>
  <c r="D38" i="1"/>
  <c r="E38" i="1" s="1"/>
  <c r="D42" i="1"/>
  <c r="E42" i="1" s="1"/>
  <c r="D43" i="1"/>
  <c r="E43" i="1" s="1"/>
  <c r="D25" i="1"/>
  <c r="E25" i="1" s="1"/>
  <c r="D37" i="1"/>
  <c r="E37" i="1" s="1"/>
  <c r="D5" i="1"/>
  <c r="E5" i="1" s="1"/>
  <c r="D23" i="1"/>
  <c r="E23" i="1" s="1"/>
  <c r="D27" i="1"/>
  <c r="E27" i="1" s="1"/>
  <c r="D31" i="1"/>
  <c r="E31" i="1" s="1"/>
  <c r="D35" i="1"/>
  <c r="E35" i="1" s="1"/>
  <c r="D39" i="1"/>
  <c r="E39" i="1" s="1"/>
  <c r="D29" i="1"/>
  <c r="E29" i="1" s="1"/>
  <c r="D41" i="1"/>
  <c r="E41" i="1" s="1"/>
  <c r="D24" i="1"/>
  <c r="E24" i="1" s="1"/>
  <c r="D28" i="1"/>
  <c r="E28" i="1" s="1"/>
  <c r="D32" i="1"/>
  <c r="E32" i="1" s="1"/>
  <c r="D36" i="1"/>
  <c r="E36" i="1" s="1"/>
  <c r="D40" i="1"/>
  <c r="E40" i="1" s="1"/>
  <c r="D44" i="1"/>
  <c r="E44" i="1" s="1"/>
  <c r="D33" i="1"/>
  <c r="E33" i="1" s="1"/>
  <c r="C7" i="3" l="1"/>
  <c r="D7" i="3" s="1"/>
  <c r="C5" i="3"/>
  <c r="D5" i="3" s="1"/>
  <c r="C4" i="3"/>
  <c r="D4" i="3" s="1"/>
  <c r="C6" i="3"/>
  <c r="D6" i="3" s="1"/>
</calcChain>
</file>

<file path=xl/sharedStrings.xml><?xml version="1.0" encoding="utf-8"?>
<sst xmlns="http://schemas.openxmlformats.org/spreadsheetml/2006/main" count="146" uniqueCount="65">
  <si>
    <t>I am able to show affection</t>
  </si>
  <si>
    <t>My relationsh ips are safe places for me</t>
  </si>
  <si>
    <t>I find it easy to share my deep feelings with others</t>
  </si>
  <si>
    <t>People tell me I am sociable and fun</t>
  </si>
  <si>
    <t>I like helping people</t>
  </si>
  <si>
    <t>Others can depend on me</t>
  </si>
  <si>
    <t>I am able to talk someone down if they are very upset</t>
  </si>
  <si>
    <t>It is easy for me to make friends</t>
  </si>
  <si>
    <t>I am good at motivating others</t>
  </si>
  <si>
    <t>I am a fairly cheerful person</t>
  </si>
  <si>
    <t>Relationship Management</t>
  </si>
  <si>
    <t>My feelings are clear to me at any given moment</t>
  </si>
  <si>
    <t>Emotions play an important part in my life</t>
  </si>
  <si>
    <t>My moods impact the people around me</t>
  </si>
  <si>
    <t>My moods are easily affected by external events</t>
  </si>
  <si>
    <t>I readily tell others my true feelings</t>
  </si>
  <si>
    <t>Even when I'm upset, I'm aware of what's happening to me</t>
  </si>
  <si>
    <t xml:space="preserve">Emotional Awareness </t>
  </si>
  <si>
    <t xml:space="preserve">Emotional Management </t>
  </si>
  <si>
    <t>I accept responsibility for my reactions</t>
  </si>
  <si>
    <t>I find it easy to make goals and stick with them</t>
  </si>
  <si>
    <t>I am an emotionally balanced person</t>
  </si>
  <si>
    <t>I am a very patient person</t>
  </si>
  <si>
    <t>I can accept critical comments from others without becoming angry</t>
  </si>
  <si>
    <t>I maintain my composure, even during stressful times</t>
  </si>
  <si>
    <t>If an issue does not affect me directly, I don't let it bother me</t>
  </si>
  <si>
    <t>I can restrain myself when I feel anger towards someone</t>
  </si>
  <si>
    <t>I control urges to overindulge in things that could damage my well being</t>
  </si>
  <si>
    <t xml:space="preserve">Social  Emotional  Awareness </t>
  </si>
  <si>
    <t>I consider the impact of my decisions on other people</t>
  </si>
  <si>
    <t>I can tell easily tell if the people around me are becoming annoyed</t>
  </si>
  <si>
    <t>I sense it when a person's mood changes</t>
  </si>
  <si>
    <t>I am able to be supportive when giving bad news to others</t>
  </si>
  <si>
    <t>I am generally able to understand the way other people feel</t>
  </si>
  <si>
    <t>My friends can tell me intimate things about themselves</t>
  </si>
  <si>
    <t>It genuinely bothers me to see other people suffer</t>
  </si>
  <si>
    <t>I usually know when to speak and when to be silent</t>
  </si>
  <si>
    <t>I care what happens to other people</t>
  </si>
  <si>
    <t>I understand when people's plans change</t>
  </si>
  <si>
    <t>Never</t>
  </si>
  <si>
    <t>Rarely</t>
  </si>
  <si>
    <t>Sometimes</t>
  </si>
  <si>
    <t>Often</t>
  </si>
  <si>
    <t>Section</t>
  </si>
  <si>
    <t>Statement</t>
  </si>
  <si>
    <t>Response</t>
  </si>
  <si>
    <t>I find it easy to put words to my feelings</t>
  </si>
  <si>
    <t>I can easily sense when I'm going to be angry</t>
  </si>
  <si>
    <t>I am able to stand apart from my thoughts and feelings and examine them</t>
  </si>
  <si>
    <t>Order</t>
  </si>
  <si>
    <t>S.N.</t>
  </si>
  <si>
    <t>EQ Domain</t>
  </si>
  <si>
    <t>Score</t>
  </si>
  <si>
    <t>Interpretation</t>
  </si>
  <si>
    <t>I direct my energy into creative work or hobbies</t>
  </si>
  <si>
    <t>Total Score</t>
  </si>
  <si>
    <t>Area For Enrichment: Requires attention and development</t>
  </si>
  <si>
    <t xml:space="preserve">Effective Functioning: Consider strengthening </t>
  </si>
  <si>
    <t>Enhanced Skills: Use as leverage to develop weaker areas</t>
  </si>
  <si>
    <t>I find it easy to describe my feeIings</t>
  </si>
  <si>
    <t>Always</t>
  </si>
  <si>
    <r>
      <t>Select Your Response (</t>
    </r>
    <r>
      <rPr>
        <b/>
        <i/>
        <sz val="12"/>
        <color theme="0" tint="-4.9989318521683403E-2"/>
        <rFont val="Calibri"/>
        <family val="2"/>
        <scheme val="minor"/>
      </rPr>
      <t>from the drop-down</t>
    </r>
    <r>
      <rPr>
        <b/>
        <sz val="12"/>
        <color theme="0" tint="-4.9989318521683403E-2"/>
        <rFont val="Calibri"/>
        <family val="2"/>
        <scheme val="minor"/>
      </rPr>
      <t>)</t>
    </r>
  </si>
  <si>
    <t>EMOTIONAL INTELLIGENCE: SELF ASSESSMENT</t>
  </si>
  <si>
    <t>Source:</t>
  </si>
  <si>
    <t>https://extension.umn.edu/what-youth-development/sel-toolkit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</si>
</sst>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i/>
      <sz val="12"/>
      <color theme="0" tint="-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4" tint="-0.249977111117893"/>
      <name val="Calibri"/>
      <family val="2"/>
      <scheme val="minor"/>
    </font>
    <font>
      <sz val="8"/>
      <color theme="4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/>
      <bottom style="thin">
        <color theme="2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0" fontId="2" fillId="0" borderId="1" xfId="0" applyFont="1" applyBorder="1"/>
    <xf numFmtId="0" fontId="3" fillId="2" borderId="1" xfId="0" applyFont="1" applyFill="1" applyBorder="1"/>
    <xf numFmtId="0" fontId="5" fillId="0" borderId="1" xfId="0" applyFont="1" applyBorder="1"/>
    <xf numFmtId="0" fontId="7" fillId="3" borderId="0" xfId="0" applyFont="1" applyFill="1"/>
    <xf numFmtId="0" fontId="7" fillId="3" borderId="0" xfId="0" quotePrefix="1" applyFont="1" applyFill="1"/>
    <xf numFmtId="0" fontId="6" fillId="3" borderId="0" xfId="0" applyFont="1" applyFill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930061227476247"/>
          <c:y val="0.10392270810579442"/>
          <c:w val="0.36452224983614051"/>
          <c:h val="0.79900096711903101"/>
        </c:manualLayout>
      </c:layout>
      <c:radarChart>
        <c:radarStyle val="marker"/>
        <c:varyColors val="0"/>
        <c:ser>
          <c:idx val="0"/>
          <c:order val="0"/>
          <c:tx>
            <c:strRef>
              <c:f>Results!$C$3</c:f>
              <c:strCache>
                <c:ptCount val="1"/>
                <c:pt idx="0">
                  <c:v>Score</c:v>
                </c:pt>
              </c:strCache>
            </c:strRef>
          </c:tx>
          <c:spPr>
            <a:ln w="28575" cap="rnd">
              <a:solidFill>
                <a:schemeClr val="accent4"/>
              </a:solidFill>
            </a:ln>
            <a:effectLst>
              <a:glow rad="76200">
                <a:schemeClr val="accent1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Results!$B$4:$B$7</c:f>
              <c:strCache>
                <c:ptCount val="4"/>
                <c:pt idx="0">
                  <c:v>Emotional Awareness </c:v>
                </c:pt>
                <c:pt idx="1">
                  <c:v>Emotional Management </c:v>
                </c:pt>
                <c:pt idx="2">
                  <c:v>Relationship Management</c:v>
                </c:pt>
                <c:pt idx="3">
                  <c:v>Social  Emotional  Awareness </c:v>
                </c:pt>
              </c:strCache>
            </c:strRef>
          </c:cat>
          <c:val>
            <c:numRef>
              <c:f>Results!$C$4:$C$7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07-42B8-A087-624B865CF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45631"/>
        <c:axId val="1868146015"/>
      </c:radarChart>
      <c:catAx>
        <c:axId val="127945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146015"/>
        <c:crosses val="autoZero"/>
        <c:auto val="1"/>
        <c:lblAlgn val="ctr"/>
        <c:lblOffset val="100"/>
        <c:noMultiLvlLbl val="0"/>
      </c:catAx>
      <c:valAx>
        <c:axId val="1868146015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accent1"/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45631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lt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'EQ-Inpu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95248</xdr:colOff>
      <xdr:row>0</xdr:row>
      <xdr:rowOff>52388</xdr:rowOff>
    </xdr:from>
    <xdr:to>
      <xdr:col>7</xdr:col>
      <xdr:colOff>572260</xdr:colOff>
      <xdr:row>2</xdr:row>
      <xdr:rowOff>83630</xdr:rowOff>
    </xdr:to>
    <xdr:sp macro="" textlink="">
      <xdr:nvSpPr>
        <xdr:cNvPr id="2" name="Rectangle: Diagonal Corners Snipped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EBB1BA-9BA2-4BD4-8767-2E9DBF85619A}"/>
            </a:ext>
          </a:extLst>
        </xdr:cNvPr>
        <xdr:cNvSpPr/>
      </xdr:nvSpPr>
      <xdr:spPr>
        <a:xfrm>
          <a:off x="9853611" y="52388"/>
          <a:ext cx="1124712" cy="393192"/>
        </a:xfrm>
        <a:prstGeom prst="snip2Diag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VIEW</a:t>
          </a:r>
          <a:r>
            <a:rPr lang="en-US" sz="1100" b="1" baseline="0">
              <a:solidFill>
                <a:schemeClr val="tx1"/>
              </a:solidFill>
            </a:rPr>
            <a:t> RESULTS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161924</xdr:colOff>
      <xdr:row>0</xdr:row>
      <xdr:rowOff>57151</xdr:rowOff>
    </xdr:from>
    <xdr:to>
      <xdr:col>5</xdr:col>
      <xdr:colOff>638936</xdr:colOff>
      <xdr:row>2</xdr:row>
      <xdr:rowOff>90488</xdr:rowOff>
    </xdr:to>
    <xdr:sp macro="[0]!Reset_list" textlink="">
      <xdr:nvSpPr>
        <xdr:cNvPr id="5" name="Rectangle: Diagonal Corners Snipped 4">
          <a:extLst>
            <a:ext uri="{FF2B5EF4-FFF2-40B4-BE49-F238E27FC236}">
              <a16:creationId xmlns:a16="http://schemas.microsoft.com/office/drawing/2014/main" id="{8C8345D2-B71A-4B3C-85A8-B462B0D98DC1}"/>
            </a:ext>
          </a:extLst>
        </xdr:cNvPr>
        <xdr:cNvSpPr/>
      </xdr:nvSpPr>
      <xdr:spPr>
        <a:xfrm>
          <a:off x="8624887" y="57151"/>
          <a:ext cx="1124712" cy="395287"/>
        </a:xfrm>
        <a:prstGeom prst="snip2Diag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477012</xdr:colOff>
      <xdr:row>3</xdr:row>
      <xdr:rowOff>126492</xdr:rowOff>
    </xdr:to>
    <xdr:sp macro="" textlink="">
      <xdr:nvSpPr>
        <xdr:cNvPr id="2" name="Rectangle: Diagonal Corners Snipped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EFB49E-A637-4244-865D-71B5CAFA41F7}"/>
            </a:ext>
          </a:extLst>
        </xdr:cNvPr>
        <xdr:cNvSpPr/>
      </xdr:nvSpPr>
      <xdr:spPr>
        <a:xfrm>
          <a:off x="9463088" y="361950"/>
          <a:ext cx="1124712" cy="393192"/>
        </a:xfrm>
        <a:prstGeom prst="snip2Diag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1">
                  <a:lumMod val="50000"/>
                </a:schemeClr>
              </a:solidFill>
            </a:rPr>
            <a:t>VIEW</a:t>
          </a:r>
          <a:r>
            <a:rPr lang="en-US" sz="1100" b="1" baseline="0">
              <a:solidFill>
                <a:schemeClr val="accent1">
                  <a:lumMod val="50000"/>
                </a:schemeClr>
              </a:solidFill>
            </a:rPr>
            <a:t> INPUT</a:t>
          </a:r>
          <a:endParaRPr lang="en-US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26193</xdr:colOff>
      <xdr:row>7</xdr:row>
      <xdr:rowOff>52387</xdr:rowOff>
    </xdr:from>
    <xdr:to>
      <xdr:col>3</xdr:col>
      <xdr:colOff>5033963</xdr:colOff>
      <xdr:row>27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E01DDD-7508-48B3-90FE-7F0FAEE74F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B670D-C247-4099-9807-53EDA5216215}">
  <sheetPr codeName="Sheet1"/>
  <dimension ref="A4:I45"/>
  <sheetViews>
    <sheetView showGridLines="0" workbookViewId="0">
      <selection sqref="A1:C4"/>
    </sheetView>
  </sheetViews>
  <sheetFormatPr defaultRowHeight="14.35" x14ac:dyDescent="0.5"/>
  <cols>
    <col min="1" max="1" width="11.703125" bestFit="1" customWidth="1"/>
    <col min="2" max="2" width="60" bestFit="1" customWidth="1"/>
    <col min="3" max="3" width="24.234375" bestFit="1" customWidth="1"/>
    <col min="4" max="4" width="8.1171875" bestFit="1" customWidth="1"/>
    <col min="5" max="5" width="5" bestFit="1" customWidth="1"/>
    <col min="6" max="6" width="9.41015625" bestFit="1" customWidth="1"/>
    <col min="7" max="7" width="1.703125" bestFit="1" customWidth="1"/>
  </cols>
  <sheetData>
    <row r="4" spans="1:9" x14ac:dyDescent="0.5">
      <c r="A4" t="s">
        <v>49</v>
      </c>
      <c r="B4" t="s">
        <v>44</v>
      </c>
      <c r="C4" t="s">
        <v>43</v>
      </c>
      <c r="D4" t="s">
        <v>45</v>
      </c>
      <c r="E4" t="s">
        <v>52</v>
      </c>
      <c r="F4" t="s">
        <v>45</v>
      </c>
      <c r="H4" t="s">
        <v>55</v>
      </c>
      <c r="I4" t="s">
        <v>53</v>
      </c>
    </row>
    <row r="5" spans="1:9" x14ac:dyDescent="0.5">
      <c r="A5">
        <f ca="1">RAND()</f>
        <v>0.7377107397715873</v>
      </c>
      <c r="B5" t="s">
        <v>48</v>
      </c>
      <c r="C5" t="s">
        <v>17</v>
      </c>
      <c r="D5">
        <f>VLOOKUP(B5, 'EQ-Input'!$C$4:$D$43,2,0)</f>
        <v>0</v>
      </c>
      <c r="E5">
        <f t="shared" ref="E5:E44" si="0">IFERROR(VLOOKUP(D5,$F$5:$G$9,2,0),0)</f>
        <v>0</v>
      </c>
      <c r="F5" t="s">
        <v>39</v>
      </c>
      <c r="G5">
        <v>0</v>
      </c>
      <c r="H5">
        <v>0</v>
      </c>
      <c r="I5" t="s">
        <v>56</v>
      </c>
    </row>
    <row r="6" spans="1:9" x14ac:dyDescent="0.5">
      <c r="A6">
        <f ca="1">RAND()</f>
        <v>0.72311690866434497</v>
      </c>
      <c r="B6" t="s">
        <v>29</v>
      </c>
      <c r="C6" t="s">
        <v>28</v>
      </c>
      <c r="D6">
        <f>VLOOKUP(B6, 'EQ-Input'!$C$4:$D$43,2,0)</f>
        <v>0</v>
      </c>
      <c r="E6">
        <f t="shared" si="0"/>
        <v>0</v>
      </c>
      <c r="F6" t="s">
        <v>40</v>
      </c>
      <c r="G6">
        <v>1</v>
      </c>
      <c r="H6">
        <v>1</v>
      </c>
      <c r="I6" t="s">
        <v>56</v>
      </c>
    </row>
    <row r="7" spans="1:9" x14ac:dyDescent="0.5">
      <c r="A7">
        <f ca="1">RAND()</f>
        <v>0.57514705506576735</v>
      </c>
      <c r="B7" t="s">
        <v>38</v>
      </c>
      <c r="C7" t="s">
        <v>28</v>
      </c>
      <c r="D7">
        <f>VLOOKUP(B7, 'EQ-Input'!$C$4:$D$43,2,0)</f>
        <v>0</v>
      </c>
      <c r="E7">
        <f t="shared" si="0"/>
        <v>0</v>
      </c>
      <c r="F7" t="s">
        <v>41</v>
      </c>
      <c r="G7">
        <v>2</v>
      </c>
      <c r="H7">
        <v>2</v>
      </c>
      <c r="I7" t="s">
        <v>56</v>
      </c>
    </row>
    <row r="8" spans="1:9" x14ac:dyDescent="0.5">
      <c r="A8">
        <f ca="1">RAND()</f>
        <v>0.85145726461397531</v>
      </c>
      <c r="B8" t="s">
        <v>54</v>
      </c>
      <c r="C8" t="s">
        <v>18</v>
      </c>
      <c r="D8">
        <f>VLOOKUP(B8, 'EQ-Input'!$C$4:$D$43,2,0)</f>
        <v>0</v>
      </c>
      <c r="E8">
        <f t="shared" si="0"/>
        <v>0</v>
      </c>
      <c r="F8" t="s">
        <v>42</v>
      </c>
      <c r="G8">
        <v>3</v>
      </c>
      <c r="H8">
        <v>3</v>
      </c>
      <c r="I8" t="s">
        <v>56</v>
      </c>
    </row>
    <row r="9" spans="1:9" x14ac:dyDescent="0.5">
      <c r="A9">
        <f ca="1">RAND()</f>
        <v>0.42036804972070563</v>
      </c>
      <c r="B9" t="s">
        <v>27</v>
      </c>
      <c r="C9" t="s">
        <v>18</v>
      </c>
      <c r="D9">
        <f>VLOOKUP(B9, 'EQ-Input'!$C$4:$D$43,2,0)</f>
        <v>0</v>
      </c>
      <c r="E9">
        <f t="shared" si="0"/>
        <v>0</v>
      </c>
      <c r="F9" t="s">
        <v>60</v>
      </c>
      <c r="G9">
        <v>4</v>
      </c>
      <c r="H9">
        <v>4</v>
      </c>
      <c r="I9" t="s">
        <v>56</v>
      </c>
    </row>
    <row r="10" spans="1:9" x14ac:dyDescent="0.5">
      <c r="A10">
        <f ca="1">RAND()</f>
        <v>0.60649706354781485</v>
      </c>
      <c r="B10" t="s">
        <v>12</v>
      </c>
      <c r="C10" t="s">
        <v>17</v>
      </c>
      <c r="D10">
        <f>VLOOKUP(B10, 'EQ-Input'!$C$4:$D$43,2,0)</f>
        <v>0</v>
      </c>
      <c r="E10">
        <f t="shared" si="0"/>
        <v>0</v>
      </c>
      <c r="H10">
        <v>5</v>
      </c>
      <c r="I10" t="s">
        <v>56</v>
      </c>
    </row>
    <row r="11" spans="1:9" x14ac:dyDescent="0.5">
      <c r="A11">
        <f ca="1">RAND()</f>
        <v>0.33551026622624458</v>
      </c>
      <c r="B11" t="s">
        <v>32</v>
      </c>
      <c r="C11" t="s">
        <v>28</v>
      </c>
      <c r="D11">
        <f>VLOOKUP(B11, 'EQ-Input'!$C$4:$D$43,2,0)</f>
        <v>0</v>
      </c>
      <c r="E11">
        <f t="shared" si="0"/>
        <v>0</v>
      </c>
      <c r="H11">
        <v>6</v>
      </c>
      <c r="I11" t="s">
        <v>56</v>
      </c>
    </row>
    <row r="12" spans="1:9" x14ac:dyDescent="0.5">
      <c r="A12">
        <f ca="1">RAND()</f>
        <v>0.29822068271420787</v>
      </c>
      <c r="B12" t="s">
        <v>47</v>
      </c>
      <c r="C12" t="s">
        <v>17</v>
      </c>
      <c r="D12">
        <f>VLOOKUP(B12, 'EQ-Input'!$C$4:$D$43,2,0)</f>
        <v>0</v>
      </c>
      <c r="E12">
        <f t="shared" si="0"/>
        <v>0</v>
      </c>
      <c r="H12">
        <v>7</v>
      </c>
      <c r="I12" t="s">
        <v>56</v>
      </c>
    </row>
    <row r="13" spans="1:9" x14ac:dyDescent="0.5">
      <c r="A13">
        <f ca="1">RAND()</f>
        <v>0.84340386751346397</v>
      </c>
      <c r="B13" t="s">
        <v>25</v>
      </c>
      <c r="C13" t="s">
        <v>18</v>
      </c>
      <c r="D13">
        <f>VLOOKUP(B13, 'EQ-Input'!$C$4:$D$43,2,0)</f>
        <v>0</v>
      </c>
      <c r="E13">
        <f t="shared" si="0"/>
        <v>0</v>
      </c>
      <c r="H13">
        <v>8</v>
      </c>
      <c r="I13" t="s">
        <v>56</v>
      </c>
    </row>
    <row r="14" spans="1:9" x14ac:dyDescent="0.5">
      <c r="A14">
        <f ca="1">RAND()</f>
        <v>0.77354277279384787</v>
      </c>
      <c r="B14" t="s">
        <v>5</v>
      </c>
      <c r="C14" t="s">
        <v>10</v>
      </c>
      <c r="D14">
        <f>VLOOKUP(B14, 'EQ-Input'!$C$4:$D$43,2,0)</f>
        <v>0</v>
      </c>
      <c r="E14">
        <f t="shared" si="0"/>
        <v>0</v>
      </c>
      <c r="H14">
        <v>9</v>
      </c>
      <c r="I14" t="s">
        <v>56</v>
      </c>
    </row>
    <row r="15" spans="1:9" x14ac:dyDescent="0.5">
      <c r="A15">
        <f ca="1">RAND()</f>
        <v>0.56270420157994971</v>
      </c>
      <c r="B15" t="s">
        <v>34</v>
      </c>
      <c r="C15" t="s">
        <v>28</v>
      </c>
      <c r="D15">
        <f>VLOOKUP(B15, 'EQ-Input'!$C$4:$D$43,2,0)</f>
        <v>0</v>
      </c>
      <c r="E15">
        <f t="shared" si="0"/>
        <v>0</v>
      </c>
      <c r="H15">
        <v>10</v>
      </c>
      <c r="I15" t="s">
        <v>56</v>
      </c>
    </row>
    <row r="16" spans="1:9" x14ac:dyDescent="0.5">
      <c r="A16">
        <f ca="1">RAND()</f>
        <v>0.19010473824375629</v>
      </c>
      <c r="B16" t="s">
        <v>33</v>
      </c>
      <c r="C16" t="s">
        <v>28</v>
      </c>
      <c r="D16">
        <f>VLOOKUP(B16, 'EQ-Input'!$C$4:$D$43,2,0)</f>
        <v>0</v>
      </c>
      <c r="E16">
        <f t="shared" si="0"/>
        <v>0</v>
      </c>
      <c r="H16">
        <v>11</v>
      </c>
      <c r="I16" t="s">
        <v>56</v>
      </c>
    </row>
    <row r="17" spans="1:9" x14ac:dyDescent="0.5">
      <c r="A17">
        <f ca="1">RAND()</f>
        <v>0.98802097416092416</v>
      </c>
      <c r="B17" t="s">
        <v>16</v>
      </c>
      <c r="C17" t="s">
        <v>17</v>
      </c>
      <c r="D17">
        <f>VLOOKUP(B17, 'EQ-Input'!$C$4:$D$43,2,0)</f>
        <v>0</v>
      </c>
      <c r="E17">
        <f t="shared" si="0"/>
        <v>0</v>
      </c>
      <c r="H17">
        <v>12</v>
      </c>
      <c r="I17" t="s">
        <v>56</v>
      </c>
    </row>
    <row r="18" spans="1:9" x14ac:dyDescent="0.5">
      <c r="A18">
        <f ca="1">RAND()</f>
        <v>0.61026759621693272</v>
      </c>
      <c r="B18" t="s">
        <v>59</v>
      </c>
      <c r="C18" t="s">
        <v>17</v>
      </c>
      <c r="D18">
        <f>VLOOKUP(B18, 'EQ-Input'!$C$4:$D$43,2,0)</f>
        <v>0</v>
      </c>
      <c r="E18">
        <f t="shared" si="0"/>
        <v>0</v>
      </c>
      <c r="H18">
        <v>13</v>
      </c>
      <c r="I18" t="s">
        <v>56</v>
      </c>
    </row>
    <row r="19" spans="1:9" x14ac:dyDescent="0.5">
      <c r="A19">
        <f ca="1">RAND()</f>
        <v>0.88198715453526755</v>
      </c>
      <c r="B19" t="s">
        <v>7</v>
      </c>
      <c r="C19" t="s">
        <v>10</v>
      </c>
      <c r="D19">
        <f>VLOOKUP(B19, 'EQ-Input'!$C$4:$D$43,2,0)</f>
        <v>0</v>
      </c>
      <c r="E19">
        <f t="shared" si="0"/>
        <v>0</v>
      </c>
      <c r="H19">
        <v>14</v>
      </c>
      <c r="I19" t="s">
        <v>56</v>
      </c>
    </row>
    <row r="20" spans="1:9" x14ac:dyDescent="0.5">
      <c r="A20">
        <f ca="1">RAND()</f>
        <v>0.6790681668714198</v>
      </c>
      <c r="B20" t="s">
        <v>8</v>
      </c>
      <c r="C20" t="s">
        <v>10</v>
      </c>
      <c r="D20">
        <f>VLOOKUP(B20, 'EQ-Input'!$C$4:$D$43,2,0)</f>
        <v>0</v>
      </c>
      <c r="E20">
        <f t="shared" si="0"/>
        <v>0</v>
      </c>
      <c r="H20">
        <v>15</v>
      </c>
      <c r="I20" t="s">
        <v>56</v>
      </c>
    </row>
    <row r="21" spans="1:9" x14ac:dyDescent="0.5">
      <c r="A21">
        <f ca="1">RAND()</f>
        <v>0.52741402139669613</v>
      </c>
      <c r="B21" t="s">
        <v>6</v>
      </c>
      <c r="C21" t="s">
        <v>10</v>
      </c>
      <c r="D21">
        <f>VLOOKUP(B21, 'EQ-Input'!$C$4:$D$43,2,0)</f>
        <v>0</v>
      </c>
      <c r="E21">
        <f t="shared" si="0"/>
        <v>0</v>
      </c>
      <c r="H21">
        <v>16</v>
      </c>
      <c r="I21" t="s">
        <v>56</v>
      </c>
    </row>
    <row r="22" spans="1:9" x14ac:dyDescent="0.5">
      <c r="A22">
        <f ca="1">RAND()</f>
        <v>0.70264171017335608</v>
      </c>
      <c r="B22" t="s">
        <v>2</v>
      </c>
      <c r="C22" t="s">
        <v>10</v>
      </c>
      <c r="D22">
        <f>VLOOKUP(B22, 'EQ-Input'!$C$4:$D$43,2,0)</f>
        <v>0</v>
      </c>
      <c r="E22">
        <f t="shared" si="0"/>
        <v>0</v>
      </c>
      <c r="H22">
        <v>17</v>
      </c>
      <c r="I22" t="s">
        <v>56</v>
      </c>
    </row>
    <row r="23" spans="1:9" x14ac:dyDescent="0.5">
      <c r="A23">
        <f ca="1">RAND()</f>
        <v>0.51829172560096159</v>
      </c>
      <c r="B23" t="s">
        <v>19</v>
      </c>
      <c r="C23" t="s">
        <v>18</v>
      </c>
      <c r="D23">
        <f>VLOOKUP(B23, 'EQ-Input'!$C$4:$D$43,2,0)</f>
        <v>0</v>
      </c>
      <c r="E23">
        <f t="shared" si="0"/>
        <v>0</v>
      </c>
      <c r="H23">
        <v>18</v>
      </c>
      <c r="I23" t="s">
        <v>56</v>
      </c>
    </row>
    <row r="24" spans="1:9" x14ac:dyDescent="0.5">
      <c r="A24">
        <f ca="1">RAND()</f>
        <v>0.22851827013808701</v>
      </c>
      <c r="B24" t="s">
        <v>22</v>
      </c>
      <c r="C24" t="s">
        <v>18</v>
      </c>
      <c r="D24">
        <f>VLOOKUP(B24, 'EQ-Input'!$C$4:$D$43,2,0)</f>
        <v>0</v>
      </c>
      <c r="E24">
        <f t="shared" si="0"/>
        <v>0</v>
      </c>
      <c r="H24">
        <v>19</v>
      </c>
      <c r="I24" t="s">
        <v>56</v>
      </c>
    </row>
    <row r="25" spans="1:9" x14ac:dyDescent="0.5">
      <c r="A25">
        <f ca="1">RAND()</f>
        <v>0.73276821190236319</v>
      </c>
      <c r="B25" t="s">
        <v>15</v>
      </c>
      <c r="C25" t="s">
        <v>17</v>
      </c>
      <c r="D25">
        <f>VLOOKUP(B25, 'EQ-Input'!$C$4:$D$43,2,0)</f>
        <v>0</v>
      </c>
      <c r="E25">
        <f t="shared" si="0"/>
        <v>0</v>
      </c>
      <c r="H25">
        <v>20</v>
      </c>
      <c r="I25" t="s">
        <v>56</v>
      </c>
    </row>
    <row r="26" spans="1:9" x14ac:dyDescent="0.5">
      <c r="A26">
        <f ca="1">RAND()</f>
        <v>0.98679272516670391</v>
      </c>
      <c r="B26" t="s">
        <v>3</v>
      </c>
      <c r="C26" t="s">
        <v>10</v>
      </c>
      <c r="D26">
        <f>VLOOKUP(B26, 'EQ-Input'!$C$4:$D$43,2,0)</f>
        <v>0</v>
      </c>
      <c r="E26">
        <f t="shared" si="0"/>
        <v>0</v>
      </c>
      <c r="H26">
        <v>21</v>
      </c>
      <c r="I26" t="s">
        <v>56</v>
      </c>
    </row>
    <row r="27" spans="1:9" x14ac:dyDescent="0.5">
      <c r="A27">
        <f ca="1">RAND()</f>
        <v>0.50079849902919205</v>
      </c>
      <c r="B27" t="s">
        <v>26</v>
      </c>
      <c r="C27" t="s">
        <v>18</v>
      </c>
      <c r="D27">
        <f>VLOOKUP(B27, 'EQ-Input'!$C$4:$D$43,2,0)</f>
        <v>0</v>
      </c>
      <c r="E27">
        <f t="shared" si="0"/>
        <v>0</v>
      </c>
      <c r="H27">
        <v>22</v>
      </c>
      <c r="I27" t="s">
        <v>56</v>
      </c>
    </row>
    <row r="28" spans="1:9" x14ac:dyDescent="0.5">
      <c r="A28">
        <f ca="1">RAND()</f>
        <v>8.0840731562092372E-2</v>
      </c>
      <c r="B28" t="s">
        <v>1</v>
      </c>
      <c r="C28" t="s">
        <v>10</v>
      </c>
      <c r="D28">
        <f>VLOOKUP(B28, 'EQ-Input'!$C$4:$D$43,2,0)</f>
        <v>0</v>
      </c>
      <c r="E28">
        <f t="shared" si="0"/>
        <v>0</v>
      </c>
      <c r="H28">
        <v>23</v>
      </c>
      <c r="I28" t="s">
        <v>56</v>
      </c>
    </row>
    <row r="29" spans="1:9" x14ac:dyDescent="0.5">
      <c r="A29">
        <f ca="1">RAND()</f>
        <v>0.93609640486611534</v>
      </c>
      <c r="B29" t="s">
        <v>36</v>
      </c>
      <c r="C29" t="s">
        <v>28</v>
      </c>
      <c r="D29">
        <f>VLOOKUP(B29, 'EQ-Input'!$C$4:$D$43,2,0)</f>
        <v>0</v>
      </c>
      <c r="E29">
        <f t="shared" si="0"/>
        <v>0</v>
      </c>
      <c r="H29">
        <v>24</v>
      </c>
      <c r="I29" t="s">
        <v>56</v>
      </c>
    </row>
    <row r="30" spans="1:9" x14ac:dyDescent="0.5">
      <c r="A30">
        <f ca="1">RAND()</f>
        <v>0.23461698340389014</v>
      </c>
      <c r="B30" t="s">
        <v>30</v>
      </c>
      <c r="C30" t="s">
        <v>28</v>
      </c>
      <c r="D30">
        <f>VLOOKUP(B30, 'EQ-Input'!$C$4:$D$43,2,0)</f>
        <v>0</v>
      </c>
      <c r="E30">
        <f t="shared" si="0"/>
        <v>0</v>
      </c>
      <c r="H30">
        <v>25</v>
      </c>
      <c r="I30" t="s">
        <v>57</v>
      </c>
    </row>
    <row r="31" spans="1:9" x14ac:dyDescent="0.5">
      <c r="A31">
        <f ca="1">RAND()</f>
        <v>0.10831791062149065</v>
      </c>
      <c r="B31" t="s">
        <v>35</v>
      </c>
      <c r="C31" t="s">
        <v>28</v>
      </c>
      <c r="D31">
        <f>VLOOKUP(B31, 'EQ-Input'!$C$4:$D$43,2,0)</f>
        <v>0</v>
      </c>
      <c r="E31">
        <f t="shared" si="0"/>
        <v>0</v>
      </c>
      <c r="H31">
        <v>26</v>
      </c>
      <c r="I31" t="s">
        <v>57</v>
      </c>
    </row>
    <row r="32" spans="1:9" x14ac:dyDescent="0.5">
      <c r="A32">
        <f ca="1">RAND()</f>
        <v>0.3552855120425763</v>
      </c>
      <c r="B32" t="s">
        <v>24</v>
      </c>
      <c r="C32" t="s">
        <v>18</v>
      </c>
      <c r="D32">
        <f>VLOOKUP(B32, 'EQ-Input'!$C$4:$D$43,2,0)</f>
        <v>0</v>
      </c>
      <c r="E32">
        <f t="shared" si="0"/>
        <v>0</v>
      </c>
      <c r="H32">
        <v>27</v>
      </c>
      <c r="I32" t="s">
        <v>57</v>
      </c>
    </row>
    <row r="33" spans="1:9" x14ac:dyDescent="0.5">
      <c r="A33">
        <f ca="1">RAND()</f>
        <v>0.61838256560516358</v>
      </c>
      <c r="B33" t="s">
        <v>46</v>
      </c>
      <c r="C33" t="s">
        <v>17</v>
      </c>
      <c r="D33">
        <f>VLOOKUP(B33, 'EQ-Input'!$C$4:$D$43,2,0)</f>
        <v>0</v>
      </c>
      <c r="E33">
        <f t="shared" si="0"/>
        <v>0</v>
      </c>
      <c r="H33">
        <v>28</v>
      </c>
      <c r="I33" t="s">
        <v>57</v>
      </c>
    </row>
    <row r="34" spans="1:9" x14ac:dyDescent="0.5">
      <c r="A34">
        <f ca="1">RAND()</f>
        <v>0.36782923769512488</v>
      </c>
      <c r="B34" t="s">
        <v>37</v>
      </c>
      <c r="C34" t="s">
        <v>28</v>
      </c>
      <c r="D34">
        <f>VLOOKUP(B34, 'EQ-Input'!$C$4:$D$43,2,0)</f>
        <v>0</v>
      </c>
      <c r="E34">
        <f t="shared" si="0"/>
        <v>0</v>
      </c>
      <c r="H34">
        <v>29</v>
      </c>
      <c r="I34" t="s">
        <v>57</v>
      </c>
    </row>
    <row r="35" spans="1:9" x14ac:dyDescent="0.5">
      <c r="A35">
        <f ca="1">RAND()</f>
        <v>3.8835030488540978E-2</v>
      </c>
      <c r="B35" t="s">
        <v>31</v>
      </c>
      <c r="C35" t="s">
        <v>28</v>
      </c>
      <c r="D35">
        <f>VLOOKUP(B35, 'EQ-Input'!$C$4:$D$43,2,0)</f>
        <v>0</v>
      </c>
      <c r="E35">
        <f t="shared" si="0"/>
        <v>0</v>
      </c>
      <c r="H35">
        <v>30</v>
      </c>
      <c r="I35" t="s">
        <v>57</v>
      </c>
    </row>
    <row r="36" spans="1:9" x14ac:dyDescent="0.5">
      <c r="A36">
        <f ca="1">RAND()</f>
        <v>0.11494695233219121</v>
      </c>
      <c r="B36" t="s">
        <v>21</v>
      </c>
      <c r="C36" t="s">
        <v>18</v>
      </c>
      <c r="D36">
        <f>VLOOKUP(B36, 'EQ-Input'!$C$4:$D$43,2,0)</f>
        <v>0</v>
      </c>
      <c r="E36">
        <f t="shared" si="0"/>
        <v>0</v>
      </c>
      <c r="H36">
        <v>31</v>
      </c>
      <c r="I36" t="s">
        <v>57</v>
      </c>
    </row>
    <row r="37" spans="1:9" x14ac:dyDescent="0.5">
      <c r="A37">
        <f ca="1">RAND()</f>
        <v>0.42129521480058307</v>
      </c>
      <c r="B37" t="s">
        <v>9</v>
      </c>
      <c r="C37" t="s">
        <v>10</v>
      </c>
      <c r="D37">
        <f>VLOOKUP(B37, 'EQ-Input'!$C$4:$D$43,2,0)</f>
        <v>0</v>
      </c>
      <c r="E37">
        <f t="shared" si="0"/>
        <v>0</v>
      </c>
      <c r="H37">
        <v>32</v>
      </c>
      <c r="I37" t="s">
        <v>57</v>
      </c>
    </row>
    <row r="38" spans="1:9" x14ac:dyDescent="0.5">
      <c r="A38">
        <f ca="1">RAND()</f>
        <v>0.52680362840597306</v>
      </c>
      <c r="B38" t="s">
        <v>11</v>
      </c>
      <c r="C38" t="s">
        <v>17</v>
      </c>
      <c r="D38">
        <f>VLOOKUP(B38, 'EQ-Input'!$C$4:$D$43,2,0)</f>
        <v>0</v>
      </c>
      <c r="E38">
        <f t="shared" si="0"/>
        <v>0</v>
      </c>
      <c r="H38">
        <v>33</v>
      </c>
      <c r="I38" t="s">
        <v>57</v>
      </c>
    </row>
    <row r="39" spans="1:9" x14ac:dyDescent="0.5">
      <c r="A39">
        <f ca="1">RAND()</f>
        <v>0.58254285087091462</v>
      </c>
      <c r="B39" t="s">
        <v>23</v>
      </c>
      <c r="C39" t="s">
        <v>18</v>
      </c>
      <c r="D39">
        <f>VLOOKUP(B39, 'EQ-Input'!$C$4:$D$43,2,0)</f>
        <v>0</v>
      </c>
      <c r="E39">
        <f t="shared" si="0"/>
        <v>0</v>
      </c>
      <c r="H39">
        <v>34</v>
      </c>
      <c r="I39" t="s">
        <v>57</v>
      </c>
    </row>
    <row r="40" spans="1:9" x14ac:dyDescent="0.5">
      <c r="A40">
        <f ca="1">RAND()</f>
        <v>0.20713943382977684</v>
      </c>
      <c r="B40" t="s">
        <v>13</v>
      </c>
      <c r="C40" t="s">
        <v>17</v>
      </c>
      <c r="D40">
        <f>VLOOKUP(B40, 'EQ-Input'!$C$4:$D$43,2,0)</f>
        <v>0</v>
      </c>
      <c r="E40">
        <f t="shared" si="0"/>
        <v>0</v>
      </c>
      <c r="H40">
        <v>35</v>
      </c>
      <c r="I40" t="s">
        <v>58</v>
      </c>
    </row>
    <row r="41" spans="1:9" x14ac:dyDescent="0.5">
      <c r="A41">
        <f ca="1">RAND()</f>
        <v>2.4765023085873805E-2</v>
      </c>
      <c r="B41" t="s">
        <v>4</v>
      </c>
      <c r="C41" t="s">
        <v>10</v>
      </c>
      <c r="D41">
        <f>VLOOKUP(B41, 'EQ-Input'!$C$4:$D$43,2,0)</f>
        <v>0</v>
      </c>
      <c r="E41">
        <f t="shared" si="0"/>
        <v>0</v>
      </c>
      <c r="H41">
        <v>36</v>
      </c>
      <c r="I41" t="s">
        <v>58</v>
      </c>
    </row>
    <row r="42" spans="1:9" x14ac:dyDescent="0.5">
      <c r="A42">
        <f ca="1">RAND()</f>
        <v>0.95727492389811397</v>
      </c>
      <c r="B42" t="s">
        <v>14</v>
      </c>
      <c r="C42" t="s">
        <v>17</v>
      </c>
      <c r="D42">
        <f>VLOOKUP(B42, 'EQ-Input'!$C$4:$D$43,2,0)</f>
        <v>0</v>
      </c>
      <c r="E42">
        <f t="shared" si="0"/>
        <v>0</v>
      </c>
      <c r="H42">
        <v>37</v>
      </c>
      <c r="I42" t="s">
        <v>58</v>
      </c>
    </row>
    <row r="43" spans="1:9" x14ac:dyDescent="0.5">
      <c r="A43">
        <f ca="1">RAND()</f>
        <v>0.38118147992414864</v>
      </c>
      <c r="B43" t="s">
        <v>20</v>
      </c>
      <c r="C43" t="s">
        <v>18</v>
      </c>
      <c r="D43">
        <f>VLOOKUP(B43, 'EQ-Input'!$C$4:$D$43,2,0)</f>
        <v>0</v>
      </c>
      <c r="E43">
        <f t="shared" si="0"/>
        <v>0</v>
      </c>
      <c r="H43">
        <v>38</v>
      </c>
      <c r="I43" t="s">
        <v>58</v>
      </c>
    </row>
    <row r="44" spans="1:9" x14ac:dyDescent="0.5">
      <c r="A44">
        <f ca="1">RAND()</f>
        <v>0.77566505953714926</v>
      </c>
      <c r="B44" t="s">
        <v>0</v>
      </c>
      <c r="C44" t="s">
        <v>10</v>
      </c>
      <c r="D44">
        <f>VLOOKUP(B44, 'EQ-Input'!$C$4:$D$43,2,0)</f>
        <v>0</v>
      </c>
      <c r="E44">
        <f t="shared" si="0"/>
        <v>0</v>
      </c>
      <c r="H44">
        <v>39</v>
      </c>
      <c r="I44" t="s">
        <v>58</v>
      </c>
    </row>
    <row r="45" spans="1:9" x14ac:dyDescent="0.5">
      <c r="H45">
        <v>40</v>
      </c>
      <c r="I45" t="s">
        <v>58</v>
      </c>
    </row>
  </sheetData>
  <sortState xmlns:xlrd2="http://schemas.microsoft.com/office/spreadsheetml/2017/richdata2" ref="A5:C44">
    <sortCondition ref="A5:A4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A5D87-FABE-417B-93EC-872F5A092B13}">
  <sheetPr codeName="Sheet2"/>
  <dimension ref="A1:H45"/>
  <sheetViews>
    <sheetView showGridLines="0" showRowColHeaders="0" tabSelected="1" zoomScale="85" zoomScaleNormal="85" workbookViewId="0">
      <pane ySplit="3" topLeftCell="A4" activePane="bottomLeft" state="frozen"/>
      <selection pane="bottomLeft" activeCell="B1" sqref="B1:D2"/>
    </sheetView>
  </sheetViews>
  <sheetFormatPr defaultColWidth="0" defaultRowHeight="14.35" zeroHeight="1" x14ac:dyDescent="0.5"/>
  <cols>
    <col min="1" max="1" width="9.05859375" customWidth="1"/>
    <col min="2" max="2" width="6" bestFit="1" customWidth="1"/>
    <col min="3" max="3" width="67.8203125" customWidth="1"/>
    <col min="4" max="4" width="43.41015625" customWidth="1"/>
    <col min="5" max="8" width="9.05859375" customWidth="1"/>
    <col min="9" max="16384" width="9.05859375" hidden="1"/>
  </cols>
  <sheetData>
    <row r="1" spans="2:4" x14ac:dyDescent="0.5">
      <c r="B1" s="7" t="s">
        <v>62</v>
      </c>
      <c r="C1" s="7"/>
      <c r="D1" s="7"/>
    </row>
    <row r="2" spans="2:4" x14ac:dyDescent="0.5">
      <c r="B2" s="8"/>
      <c r="C2" s="8"/>
      <c r="D2" s="8"/>
    </row>
    <row r="3" spans="2:4" ht="15.7" x14ac:dyDescent="0.55000000000000004">
      <c r="B3" s="3" t="s">
        <v>50</v>
      </c>
      <c r="C3" s="3" t="str">
        <f>Calculation!B4</f>
        <v>Statement</v>
      </c>
      <c r="D3" s="3" t="s">
        <v>61</v>
      </c>
    </row>
    <row r="4" spans="2:4" ht="15.7" x14ac:dyDescent="0.55000000000000004">
      <c r="B4" s="4">
        <v>1</v>
      </c>
      <c r="C4" s="4" t="str">
        <f>Calculation!B5</f>
        <v>I am able to stand apart from my thoughts and feelings and examine them</v>
      </c>
      <c r="D4" s="4"/>
    </row>
    <row r="5" spans="2:4" ht="15.7" x14ac:dyDescent="0.55000000000000004">
      <c r="B5" s="4">
        <v>2</v>
      </c>
      <c r="C5" s="4" t="str">
        <f>Calculation!B6</f>
        <v>I consider the impact of my decisions on other people</v>
      </c>
      <c r="D5" s="4"/>
    </row>
    <row r="6" spans="2:4" ht="15.7" x14ac:dyDescent="0.55000000000000004">
      <c r="B6" s="4">
        <v>3</v>
      </c>
      <c r="C6" s="4" t="str">
        <f>Calculation!B7</f>
        <v>I understand when people's plans change</v>
      </c>
      <c r="D6" s="4"/>
    </row>
    <row r="7" spans="2:4" ht="15.7" x14ac:dyDescent="0.55000000000000004">
      <c r="B7" s="4">
        <v>4</v>
      </c>
      <c r="C7" s="4" t="str">
        <f>Calculation!B8</f>
        <v>I direct my energy into creative work or hobbies</v>
      </c>
      <c r="D7" s="4"/>
    </row>
    <row r="8" spans="2:4" ht="15.7" x14ac:dyDescent="0.55000000000000004">
      <c r="B8" s="4">
        <v>5</v>
      </c>
      <c r="C8" s="4" t="str">
        <f>Calculation!B9</f>
        <v>I control urges to overindulge in things that could damage my well being</v>
      </c>
      <c r="D8" s="4"/>
    </row>
    <row r="9" spans="2:4" ht="15.7" x14ac:dyDescent="0.55000000000000004">
      <c r="B9" s="4">
        <v>5</v>
      </c>
      <c r="C9" s="4" t="str">
        <f>Calculation!B10</f>
        <v>Emotions play an important part in my life</v>
      </c>
      <c r="D9" s="4"/>
    </row>
    <row r="10" spans="2:4" ht="15.7" x14ac:dyDescent="0.55000000000000004">
      <c r="B10" s="4">
        <v>7</v>
      </c>
      <c r="C10" s="4" t="str">
        <f>Calculation!B11</f>
        <v>I am able to be supportive when giving bad news to others</v>
      </c>
      <c r="D10" s="4"/>
    </row>
    <row r="11" spans="2:4" ht="15.7" x14ac:dyDescent="0.55000000000000004">
      <c r="B11" s="4">
        <v>8</v>
      </c>
      <c r="C11" s="4" t="str">
        <f>Calculation!B12</f>
        <v>I can easily sense when I'm going to be angry</v>
      </c>
      <c r="D11" s="4"/>
    </row>
    <row r="12" spans="2:4" ht="15.7" x14ac:dyDescent="0.55000000000000004">
      <c r="B12" s="4">
        <v>9</v>
      </c>
      <c r="C12" s="4" t="str">
        <f>Calculation!B13</f>
        <v>If an issue does not affect me directly, I don't let it bother me</v>
      </c>
      <c r="D12" s="4"/>
    </row>
    <row r="13" spans="2:4" ht="15.7" x14ac:dyDescent="0.55000000000000004">
      <c r="B13" s="4">
        <v>10</v>
      </c>
      <c r="C13" s="4" t="str">
        <f>Calculation!B14</f>
        <v>Others can depend on me</v>
      </c>
      <c r="D13" s="4"/>
    </row>
    <row r="14" spans="2:4" ht="15.7" x14ac:dyDescent="0.55000000000000004">
      <c r="B14" s="4">
        <v>11</v>
      </c>
      <c r="C14" s="4" t="str">
        <f>Calculation!B15</f>
        <v>My friends can tell me intimate things about themselves</v>
      </c>
      <c r="D14" s="4"/>
    </row>
    <row r="15" spans="2:4" ht="15.7" x14ac:dyDescent="0.55000000000000004">
      <c r="B15" s="4">
        <v>12</v>
      </c>
      <c r="C15" s="4" t="str">
        <f>Calculation!B16</f>
        <v>I am generally able to understand the way other people feel</v>
      </c>
      <c r="D15" s="4"/>
    </row>
    <row r="16" spans="2:4" ht="15.7" x14ac:dyDescent="0.55000000000000004">
      <c r="B16" s="4">
        <v>13</v>
      </c>
      <c r="C16" s="4" t="str">
        <f>Calculation!B17</f>
        <v>Even when I'm upset, I'm aware of what's happening to me</v>
      </c>
      <c r="D16" s="4"/>
    </row>
    <row r="17" spans="2:4" ht="15.7" x14ac:dyDescent="0.55000000000000004">
      <c r="B17" s="4">
        <v>14</v>
      </c>
      <c r="C17" s="4" t="str">
        <f>Calculation!B18</f>
        <v>I find it easy to describe my feeIings</v>
      </c>
      <c r="D17" s="4"/>
    </row>
    <row r="18" spans="2:4" ht="15.7" x14ac:dyDescent="0.55000000000000004">
      <c r="B18" s="4">
        <v>15</v>
      </c>
      <c r="C18" s="4" t="str">
        <f>Calculation!B19</f>
        <v>It is easy for me to make friends</v>
      </c>
      <c r="D18" s="4"/>
    </row>
    <row r="19" spans="2:4" ht="15.7" x14ac:dyDescent="0.55000000000000004">
      <c r="B19" s="4">
        <v>16</v>
      </c>
      <c r="C19" s="4" t="str">
        <f>Calculation!B20</f>
        <v>I am good at motivating others</v>
      </c>
      <c r="D19" s="4"/>
    </row>
    <row r="20" spans="2:4" ht="15.7" x14ac:dyDescent="0.55000000000000004">
      <c r="B20" s="4">
        <v>17</v>
      </c>
      <c r="C20" s="4" t="str">
        <f>Calculation!B21</f>
        <v>I am able to talk someone down if they are very upset</v>
      </c>
      <c r="D20" s="4"/>
    </row>
    <row r="21" spans="2:4" ht="15.7" x14ac:dyDescent="0.55000000000000004">
      <c r="B21" s="4">
        <v>18</v>
      </c>
      <c r="C21" s="4" t="str">
        <f>Calculation!B22</f>
        <v>I find it easy to share my deep feelings with others</v>
      </c>
      <c r="D21" s="4"/>
    </row>
    <row r="22" spans="2:4" ht="15.7" x14ac:dyDescent="0.55000000000000004">
      <c r="B22" s="4">
        <v>19</v>
      </c>
      <c r="C22" s="4" t="str">
        <f>Calculation!B23</f>
        <v>I accept responsibility for my reactions</v>
      </c>
      <c r="D22" s="4"/>
    </row>
    <row r="23" spans="2:4" ht="15.7" x14ac:dyDescent="0.55000000000000004">
      <c r="B23" s="4">
        <v>20</v>
      </c>
      <c r="C23" s="4" t="str">
        <f>Calculation!B24</f>
        <v>I am a very patient person</v>
      </c>
      <c r="D23" s="4"/>
    </row>
    <row r="24" spans="2:4" ht="15.7" x14ac:dyDescent="0.55000000000000004">
      <c r="B24" s="4">
        <v>21</v>
      </c>
      <c r="C24" s="4" t="str">
        <f>Calculation!B25</f>
        <v>I readily tell others my true feelings</v>
      </c>
      <c r="D24" s="4"/>
    </row>
    <row r="25" spans="2:4" ht="15.7" x14ac:dyDescent="0.55000000000000004">
      <c r="B25" s="4">
        <v>22</v>
      </c>
      <c r="C25" s="4" t="str">
        <f>Calculation!B26</f>
        <v>People tell me I am sociable and fun</v>
      </c>
      <c r="D25" s="4"/>
    </row>
    <row r="26" spans="2:4" ht="15.7" x14ac:dyDescent="0.55000000000000004">
      <c r="B26" s="4">
        <v>23</v>
      </c>
      <c r="C26" s="4" t="str">
        <f>Calculation!B27</f>
        <v>I can restrain myself when I feel anger towards someone</v>
      </c>
      <c r="D26" s="4"/>
    </row>
    <row r="27" spans="2:4" ht="15.7" x14ac:dyDescent="0.55000000000000004">
      <c r="B27" s="4">
        <v>24</v>
      </c>
      <c r="C27" s="4" t="str">
        <f>Calculation!B28</f>
        <v>My relationsh ips are safe places for me</v>
      </c>
      <c r="D27" s="4"/>
    </row>
    <row r="28" spans="2:4" ht="15.7" x14ac:dyDescent="0.55000000000000004">
      <c r="B28" s="4">
        <v>25</v>
      </c>
      <c r="C28" s="4" t="str">
        <f>Calculation!B29</f>
        <v>I usually know when to speak and when to be silent</v>
      </c>
      <c r="D28" s="4"/>
    </row>
    <row r="29" spans="2:4" ht="15.7" x14ac:dyDescent="0.55000000000000004">
      <c r="B29" s="4">
        <v>26</v>
      </c>
      <c r="C29" s="4" t="str">
        <f>Calculation!B30</f>
        <v>I can tell easily tell if the people around me are becoming annoyed</v>
      </c>
      <c r="D29" s="4"/>
    </row>
    <row r="30" spans="2:4" ht="15.7" x14ac:dyDescent="0.55000000000000004">
      <c r="B30" s="4">
        <v>27</v>
      </c>
      <c r="C30" s="4" t="str">
        <f>Calculation!B31</f>
        <v>It genuinely bothers me to see other people suffer</v>
      </c>
      <c r="D30" s="4"/>
    </row>
    <row r="31" spans="2:4" ht="15.7" x14ac:dyDescent="0.55000000000000004">
      <c r="B31" s="4">
        <v>28</v>
      </c>
      <c r="C31" s="4" t="str">
        <f>Calculation!B32</f>
        <v>I maintain my composure, even during stressful times</v>
      </c>
      <c r="D31" s="4"/>
    </row>
    <row r="32" spans="2:4" ht="15.7" x14ac:dyDescent="0.55000000000000004">
      <c r="B32" s="4">
        <v>29</v>
      </c>
      <c r="C32" s="4" t="str">
        <f>Calculation!B33</f>
        <v>I find it easy to put words to my feelings</v>
      </c>
      <c r="D32" s="4"/>
    </row>
    <row r="33" spans="2:4" ht="15.7" x14ac:dyDescent="0.55000000000000004">
      <c r="B33" s="4">
        <v>30</v>
      </c>
      <c r="C33" s="4" t="str">
        <f>Calculation!B34</f>
        <v>I care what happens to other people</v>
      </c>
      <c r="D33" s="4"/>
    </row>
    <row r="34" spans="2:4" ht="15.7" x14ac:dyDescent="0.55000000000000004">
      <c r="B34" s="4">
        <v>31</v>
      </c>
      <c r="C34" s="4" t="str">
        <f>Calculation!B35</f>
        <v>I sense it when a person's mood changes</v>
      </c>
      <c r="D34" s="4"/>
    </row>
    <row r="35" spans="2:4" ht="15.7" x14ac:dyDescent="0.55000000000000004">
      <c r="B35" s="4">
        <v>32</v>
      </c>
      <c r="C35" s="4" t="str">
        <f>Calculation!B36</f>
        <v>I am an emotionally balanced person</v>
      </c>
      <c r="D35" s="4"/>
    </row>
    <row r="36" spans="2:4" ht="15.7" x14ac:dyDescent="0.55000000000000004">
      <c r="B36" s="4">
        <v>33</v>
      </c>
      <c r="C36" s="4" t="str">
        <f>Calculation!B37</f>
        <v>I am a fairly cheerful person</v>
      </c>
      <c r="D36" s="4"/>
    </row>
    <row r="37" spans="2:4" ht="15.7" x14ac:dyDescent="0.55000000000000004">
      <c r="B37" s="4">
        <v>34</v>
      </c>
      <c r="C37" s="4" t="str">
        <f>Calculation!B38</f>
        <v>My feelings are clear to me at any given moment</v>
      </c>
      <c r="D37" s="4"/>
    </row>
    <row r="38" spans="2:4" ht="15.7" x14ac:dyDescent="0.55000000000000004">
      <c r="B38" s="4">
        <v>35</v>
      </c>
      <c r="C38" s="4" t="str">
        <f>Calculation!B39</f>
        <v>I can accept critical comments from others without becoming angry</v>
      </c>
      <c r="D38" s="4"/>
    </row>
    <row r="39" spans="2:4" ht="15.7" x14ac:dyDescent="0.55000000000000004">
      <c r="B39" s="4">
        <v>36</v>
      </c>
      <c r="C39" s="4" t="str">
        <f>Calculation!B40</f>
        <v>My moods impact the people around me</v>
      </c>
      <c r="D39" s="4"/>
    </row>
    <row r="40" spans="2:4" ht="15.7" x14ac:dyDescent="0.55000000000000004">
      <c r="B40" s="4">
        <v>37</v>
      </c>
      <c r="C40" s="4" t="str">
        <f>Calculation!B41</f>
        <v>I like helping people</v>
      </c>
      <c r="D40" s="4"/>
    </row>
    <row r="41" spans="2:4" ht="15.7" x14ac:dyDescent="0.55000000000000004">
      <c r="B41" s="4">
        <v>38</v>
      </c>
      <c r="C41" s="4" t="str">
        <f>Calculation!B42</f>
        <v>My moods are easily affected by external events</v>
      </c>
      <c r="D41" s="4"/>
    </row>
    <row r="42" spans="2:4" ht="15.7" x14ac:dyDescent="0.55000000000000004">
      <c r="B42" s="4">
        <v>39</v>
      </c>
      <c r="C42" s="4" t="str">
        <f>Calculation!B43</f>
        <v>I find it easy to make goals and stick with them</v>
      </c>
      <c r="D42" s="4"/>
    </row>
    <row r="43" spans="2:4" ht="15.7" x14ac:dyDescent="0.55000000000000004">
      <c r="B43" s="4">
        <v>40</v>
      </c>
      <c r="C43" s="4" t="str">
        <f>Calculation!B44</f>
        <v>I am able to show affection</v>
      </c>
      <c r="D43" s="4"/>
    </row>
    <row r="44" spans="2:4" x14ac:dyDescent="0.5">
      <c r="B44" s="5" t="s">
        <v>63</v>
      </c>
      <c r="C44" s="6" t="s">
        <v>64</v>
      </c>
      <c r="D44" s="5"/>
    </row>
    <row r="45" spans="2:4" x14ac:dyDescent="0.5"/>
  </sheetData>
  <sheetProtection formatCells="0" formatColumns="0" formatRows="0" insertColumns="0" insertRows="0" insertHyperlinks="0" deleteColumns="0" deleteRows="0" sort="0" pivotTables="0"/>
  <sortState xmlns:xlrd2="http://schemas.microsoft.com/office/spreadsheetml/2017/richdata2" ref="B4:D43">
    <sortCondition ref="C4:C43"/>
  </sortState>
  <mergeCells count="1">
    <mergeCell ref="B1:D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CEA517-0AB9-4DFF-97B5-B3290A717C3B}">
          <x14:formula1>
            <xm:f>Calculation!$F$5:$F$9</xm:f>
          </x14:formula1>
          <xm:sqref>D4:D43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C57AC-1B1E-40B6-8197-B8043CAECDEF}">
  <sheetPr codeName="Sheet3"/>
  <dimension ref="A1:G30"/>
  <sheetViews>
    <sheetView showGridLines="0" zoomScale="85" zoomScaleNormal="85" workbookViewId="0"/>
  </sheetViews>
  <sheetFormatPr defaultColWidth="0" defaultRowHeight="14.35" zeroHeight="1" x14ac:dyDescent="0.5"/>
  <cols>
    <col min="1" max="1" width="9.05859375" customWidth="1"/>
    <col min="2" max="2" width="36.17578125" bestFit="1" customWidth="1"/>
    <col min="3" max="3" width="7.52734375" bestFit="1" customWidth="1"/>
    <col min="4" max="4" width="70.5859375" bestFit="1" customWidth="1"/>
    <col min="5" max="7" width="9.05859375" customWidth="1"/>
    <col min="8" max="16384" width="9.05859375" hidden="1"/>
  </cols>
  <sheetData>
    <row r="1" spans="2:4" x14ac:dyDescent="0.5"/>
    <row r="2" spans="2:4" x14ac:dyDescent="0.5"/>
    <row r="3" spans="2:4" ht="20.7" x14ac:dyDescent="0.7">
      <c r="B3" s="1" t="s">
        <v>51</v>
      </c>
      <c r="C3" s="1" t="s">
        <v>52</v>
      </c>
      <c r="D3" s="1" t="s">
        <v>53</v>
      </c>
    </row>
    <row r="4" spans="2:4" ht="20.7" x14ac:dyDescent="0.7">
      <c r="B4" s="2" t="s">
        <v>17</v>
      </c>
      <c r="C4" s="2">
        <f>SUMIF(Calculation!$C$5:$C$44,B4,Calculation!$E$5:$E$44)</f>
        <v>0</v>
      </c>
      <c r="D4" s="2" t="str">
        <f>VLOOKUP(C4, Calculation!$H$5:$I$45,2,0)</f>
        <v>Area For Enrichment: Requires attention and development</v>
      </c>
    </row>
    <row r="5" spans="2:4" ht="20.7" x14ac:dyDescent="0.7">
      <c r="B5" s="2" t="s">
        <v>18</v>
      </c>
      <c r="C5" s="2">
        <f>SUMIF(Calculation!$C$5:$C$44,B5,Calculation!$E$5:$E$44)</f>
        <v>0</v>
      </c>
      <c r="D5" s="2" t="str">
        <f>VLOOKUP(C5, Calculation!$H$5:$I$45,2,0)</f>
        <v>Area For Enrichment: Requires attention and development</v>
      </c>
    </row>
    <row r="6" spans="2:4" ht="20.7" x14ac:dyDescent="0.7">
      <c r="B6" s="2" t="s">
        <v>10</v>
      </c>
      <c r="C6" s="2">
        <f>SUMIF(Calculation!$C$5:$C$44,B6,Calculation!$E$5:$E$44)</f>
        <v>0</v>
      </c>
      <c r="D6" s="2" t="str">
        <f>VLOOKUP(C6, Calculation!$H$5:$I$45,2,0)</f>
        <v>Area For Enrichment: Requires attention and development</v>
      </c>
    </row>
    <row r="7" spans="2:4" ht="20.7" x14ac:dyDescent="0.7">
      <c r="B7" s="2" t="s">
        <v>28</v>
      </c>
      <c r="C7" s="2">
        <f>SUMIF(Calculation!$C$5:$C$44,B7,Calculation!$E$5:$E$44)</f>
        <v>0</v>
      </c>
      <c r="D7" s="2" t="str">
        <f>VLOOKUP(C7, Calculation!$H$5:$I$45,2,0)</f>
        <v>Area For Enrichment: Requires attention and development</v>
      </c>
    </row>
    <row r="8" spans="2:4" x14ac:dyDescent="0.5"/>
    <row r="9" spans="2:4" x14ac:dyDescent="0.5"/>
    <row r="10" spans="2:4" x14ac:dyDescent="0.5"/>
    <row r="11" spans="2:4" x14ac:dyDescent="0.5"/>
    <row r="12" spans="2:4" x14ac:dyDescent="0.5"/>
    <row r="13" spans="2:4" x14ac:dyDescent="0.5"/>
    <row r="14" spans="2:4" x14ac:dyDescent="0.5"/>
    <row r="15" spans="2:4" x14ac:dyDescent="0.5"/>
    <row r="16" spans="2:4" x14ac:dyDescent="0.5"/>
    <row r="17" x14ac:dyDescent="0.5"/>
    <row r="18" x14ac:dyDescent="0.5"/>
    <row r="19" x14ac:dyDescent="0.5"/>
    <row r="20" x14ac:dyDescent="0.5"/>
    <row r="21" x14ac:dyDescent="0.5"/>
    <row r="22" x14ac:dyDescent="0.5"/>
    <row r="23" x14ac:dyDescent="0.5"/>
    <row r="24" x14ac:dyDescent="0.5"/>
    <row r="25" x14ac:dyDescent="0.5"/>
    <row r="26" x14ac:dyDescent="0.5"/>
    <row r="27" x14ac:dyDescent="0.5"/>
    <row r="28" x14ac:dyDescent="0.5"/>
    <row r="29" x14ac:dyDescent="0.5"/>
    <row r="30" x14ac:dyDescent="0.5"/>
  </sheetData>
  <sheetProtection algorithmName="SHA-512" hashValue="ThKIW6arueeKlNxux81JTWWQyYaTQj5pByrVhyl/paQEjDTiHPNuePzoQPf35ivMLd+Deld2gKF9+EC6KarwSw==" saltValue="n4Ran6VehDguWT7LmuoPpw==" spinCount="100000" sheet="1" objects="1" scenarios="1"/>
  <sortState xmlns:xlrd2="http://schemas.microsoft.com/office/spreadsheetml/2017/richdata2" ref="B4:B7">
    <sortCondition ref="B4:B7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Calculation</vt:lpstr>
      <vt:lpstr>EQ-Input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Naik</dc:creator>
  <cp:lastModifiedBy>Vishal Naik</cp:lastModifiedBy>
  <dcterms:created xsi:type="dcterms:W3CDTF">2019-10-13T09:44:54Z</dcterms:created>
  <dcterms:modified xsi:type="dcterms:W3CDTF">2020-12-26T15:04:22Z</dcterms:modified>
</cp:coreProperties>
</file>